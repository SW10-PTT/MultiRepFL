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683C080E-9C81-4482-B602-C5864E3C8BCF}" xr6:coauthVersionLast="47" xr6:coauthVersionMax="47" xr10:uidLastSave="{00000000-0000-0000-0000-000000000000}"/>
  <bookViews>
    <workbookView xWindow="-38520" yWindow="-5490" windowWidth="38640" windowHeight="21120" xr2:uid="{00000000-000D-0000-FFFF-FFFF00000000}"/>
  </bookViews>
  <sheets>
    <sheet name="Ark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4" i="1" s="1"/>
  <c r="E4" i="1" s="1"/>
  <c r="D3" i="1"/>
  <c r="F3" i="1" s="1"/>
  <c r="C3" i="1"/>
  <c r="F4" i="1" l="1"/>
  <c r="A3" i="1"/>
  <c r="H3" i="1" s="1"/>
  <c r="K3" i="1" s="1"/>
  <c r="D4" i="1"/>
  <c r="C5" i="1"/>
  <c r="E5" i="1" s="1"/>
  <c r="D5" i="1" l="1"/>
  <c r="C6" i="1"/>
  <c r="E6" i="1" s="1"/>
  <c r="A4" i="1"/>
  <c r="H4" i="1" s="1"/>
  <c r="K4" i="1" s="1"/>
  <c r="F5" i="1"/>
  <c r="D6" i="1" l="1"/>
  <c r="C7" i="1"/>
  <c r="E7" i="1" s="1"/>
  <c r="F6" i="1"/>
  <c r="A5" i="1"/>
  <c r="H5" i="1" s="1"/>
  <c r="K5" i="1" s="1"/>
  <c r="D7" i="1" l="1"/>
  <c r="C8" i="1"/>
  <c r="E8" i="1" s="1"/>
  <c r="F7" i="1"/>
  <c r="A6" i="1"/>
  <c r="H6" i="1" s="1"/>
  <c r="K6" i="1" s="1"/>
  <c r="E9" i="1" l="1"/>
  <c r="D8" i="1"/>
  <c r="C9" i="1"/>
  <c r="F8" i="1"/>
  <c r="A7" i="1"/>
  <c r="H7" i="1" s="1"/>
  <c r="K7" i="1" s="1"/>
  <c r="D9" i="1" l="1"/>
  <c r="C10" i="1"/>
  <c r="E10" i="1" s="1"/>
  <c r="A8" i="1"/>
  <c r="H8" i="1" s="1"/>
  <c r="K8" i="1" s="1"/>
  <c r="F9" i="1"/>
  <c r="D10" i="1" l="1"/>
  <c r="C11" i="1"/>
  <c r="E11" i="1" s="1"/>
  <c r="A9" i="1"/>
  <c r="H9" i="1" s="1"/>
  <c r="K9" i="1" s="1"/>
  <c r="F10" i="1"/>
  <c r="C12" i="1" l="1"/>
  <c r="D11" i="1"/>
  <c r="E12" i="1"/>
  <c r="A10" i="1"/>
  <c r="H10" i="1" s="1"/>
  <c r="K10" i="1" s="1"/>
  <c r="F11" i="1"/>
  <c r="D12" i="1" l="1"/>
  <c r="C13" i="1"/>
  <c r="E13" i="1" s="1"/>
  <c r="A11" i="1"/>
  <c r="H11" i="1" s="1"/>
  <c r="K11" i="1" s="1"/>
  <c r="F12" i="1"/>
  <c r="D13" i="1" l="1"/>
  <c r="C14" i="1"/>
  <c r="E14" i="1" s="1"/>
  <c r="F13" i="1"/>
  <c r="A12" i="1"/>
  <c r="H12" i="1" s="1"/>
  <c r="K12" i="1" s="1"/>
  <c r="D14" i="1" l="1"/>
  <c r="C15" i="1"/>
  <c r="E15" i="1" s="1"/>
  <c r="F14" i="1"/>
  <c r="A13" i="1"/>
  <c r="H13" i="1" s="1"/>
  <c r="K13" i="1" s="1"/>
  <c r="D15" i="1" l="1"/>
  <c r="F15" i="1" s="1"/>
  <c r="C16" i="1"/>
  <c r="E16" i="1" s="1"/>
  <c r="A14" i="1"/>
  <c r="H14" i="1" s="1"/>
  <c r="K14" i="1" s="1"/>
  <c r="D16" i="1" l="1"/>
  <c r="C17" i="1"/>
  <c r="E17" i="1" s="1"/>
  <c r="F16" i="1"/>
  <c r="A15" i="1"/>
  <c r="H15" i="1" s="1"/>
  <c r="K15" i="1" s="1"/>
  <c r="D17" i="1" l="1"/>
  <c r="C18" i="1"/>
  <c r="E18" i="1" s="1"/>
  <c r="F17" i="1"/>
  <c r="A16" i="1"/>
  <c r="H16" i="1" s="1"/>
  <c r="K16" i="1" s="1"/>
  <c r="D18" i="1" l="1"/>
  <c r="C19" i="1"/>
  <c r="E19" i="1"/>
  <c r="D19" i="1" s="1"/>
  <c r="A17" i="1"/>
  <c r="H17" i="1" s="1"/>
  <c r="K17" i="1" s="1"/>
  <c r="F18" i="1"/>
  <c r="F19" i="1" l="1"/>
  <c r="A19" i="1" s="1"/>
  <c r="H19" i="1" s="1"/>
  <c r="A18" i="1"/>
  <c r="H18" i="1" s="1"/>
  <c r="K18" i="1" s="1"/>
  <c r="K19" i="1" s="1"/>
</calcChain>
</file>

<file path=xl/sharedStrings.xml><?xml version="1.0" encoding="utf-8"?>
<sst xmlns="http://schemas.openxmlformats.org/spreadsheetml/2006/main" count="18" uniqueCount="18">
  <si>
    <t>Experiment 1 (Fast n_0)</t>
  </si>
  <si>
    <t>Confidence</t>
  </si>
  <si>
    <t>TaskRep</t>
  </si>
  <si>
    <t>Constants</t>
  </si>
  <si>
    <t>s_k</t>
  </si>
  <si>
    <t>k</t>
  </si>
  <si>
    <t>Delta</t>
  </si>
  <si>
    <t>Delta2</t>
  </si>
  <si>
    <t>RunningCMean</t>
  </si>
  <si>
    <t>M2 (ExponentiallyWeightedRunningSumOfSquaredDeviations)</t>
  </si>
  <si>
    <t>Calc</t>
  </si>
  <si>
    <t>ContribScore</t>
  </si>
  <si>
    <t>Forgetting factor on variance (alpha)</t>
  </si>
  <si>
    <t>n_0</t>
  </si>
  <si>
    <t>Lambda (weight on variance)</t>
  </si>
  <si>
    <t>n (weight on previous vs new scores)</t>
  </si>
  <si>
    <t>Built-in forgetting factor with n, but not for variance</t>
  </si>
  <si>
    <t>TaskRepCalc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</si>
</sst>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udk.sharepoint.com/sites/P10_i4kgrl/Delte%20dokumenter/General/Design/Contribution%20Score%20Calculations.xlsx" TargetMode="External"/><Relationship Id="rId1" Type="http://schemas.openxmlformats.org/officeDocument/2006/relationships/externalLinkPath" Target="https://aaudk.sharepoint.com/sites/P10_i4kgrl/Delte%20dokumenter/General/Design/Contribution%20Score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tialFormula"/>
      <sheetName val="CorrectVarianceCalc"/>
      <sheetName val="VarianceForgettingFactor"/>
      <sheetName val="ContribScoreExample"/>
      <sheetName val="Sheet1"/>
      <sheetName val="TheMerge"/>
    </sheetNames>
    <sheetDataSet>
      <sheetData sheetId="0"/>
      <sheetData sheetId="1"/>
      <sheetData sheetId="2">
        <row r="3">
          <cell r="A3">
            <v>0</v>
          </cell>
          <cell r="H3">
            <v>0.16666666666666666</v>
          </cell>
          <cell r="K3">
            <v>2.3333333333333331E-2</v>
          </cell>
        </row>
        <row r="4">
          <cell r="A4">
            <v>1.6000000000000029E-3</v>
          </cell>
          <cell r="H4">
            <v>0.27685492801771866</v>
          </cell>
          <cell r="K4">
            <v>6.2963455149501663E-2</v>
          </cell>
        </row>
        <row r="5">
          <cell r="A5">
            <v>3.5840000000000021E-3</v>
          </cell>
          <cell r="H5">
            <v>0.34991788593610035</v>
          </cell>
          <cell r="K5">
            <v>9.2360910431933368E-2</v>
          </cell>
        </row>
        <row r="6">
          <cell r="A6">
            <v>9.5257600000000046E-3</v>
          </cell>
          <cell r="H6">
            <v>0.37332110034751709</v>
          </cell>
          <cell r="K6">
            <v>0.14108652640809979</v>
          </cell>
        </row>
        <row r="7">
          <cell r="A7">
            <v>7.8372864000000042E-3</v>
          </cell>
          <cell r="H7">
            <v>0.43224711178704256</v>
          </cell>
          <cell r="K7">
            <v>0.17338381677666581</v>
          </cell>
        </row>
        <row r="8">
          <cell r="A8">
            <v>6.9660983295999998E-2</v>
          </cell>
          <cell r="H8">
            <v>0.22791662345999569</v>
          </cell>
          <cell r="K8">
            <v>0.14326538589053259</v>
          </cell>
        </row>
        <row r="9">
          <cell r="A9">
            <v>6.9789813309440007E-2</v>
          </cell>
          <cell r="H9">
            <v>0.24348202790268642</v>
          </cell>
          <cell r="K9">
            <v>0.15843907373490962</v>
          </cell>
        </row>
        <row r="10">
          <cell r="A10">
            <v>6.4830907718041605E-2</v>
          </cell>
          <cell r="H10">
            <v>0.26795251714618706</v>
          </cell>
          <cell r="K10">
            <v>0.17498271207424138</v>
          </cell>
        </row>
        <row r="11">
          <cell r="A11">
            <v>5.7624122699546629E-2</v>
          </cell>
          <cell r="H11">
            <v>0.29865848228644881</v>
          </cell>
          <cell r="K11">
            <v>0.19374469647095391</v>
          </cell>
        </row>
        <row r="12">
          <cell r="A12">
            <v>5.5957295807709848E-2</v>
          </cell>
          <cell r="H12">
            <v>0.31459214846164346</v>
          </cell>
          <cell r="K12">
            <v>0.18645497202292749</v>
          </cell>
        </row>
        <row r="13">
          <cell r="A13">
            <v>8.4538145464134309E-2</v>
          </cell>
          <cell r="H13">
            <v>0.25550374491496036</v>
          </cell>
          <cell r="K13">
            <v>0.1593841274149404</v>
          </cell>
        </row>
        <row r="14">
          <cell r="A14">
            <v>0.10744831143432597</v>
          </cell>
          <cell r="H14">
            <v>0.22416320204094745</v>
          </cell>
          <cell r="K14">
            <v>0.13199056597277128</v>
          </cell>
        </row>
        <row r="15">
          <cell r="A15">
            <v>9.2417154374096616E-2</v>
          </cell>
          <cell r="H15">
            <v>0.25355871818822928</v>
          </cell>
          <cell r="K15">
            <v>0.14109067332456915</v>
          </cell>
        </row>
        <row r="16">
          <cell r="A16">
            <v>8.4810515695831437E-2</v>
          </cell>
          <cell r="H16">
            <v>0.27328806712885467</v>
          </cell>
          <cell r="K16">
            <v>0.15659862940027208</v>
          </cell>
        </row>
        <row r="17">
          <cell r="A17">
            <v>7.3710843237636769E-2</v>
          </cell>
          <cell r="H17">
            <v>0.30312621770725517</v>
          </cell>
          <cell r="K17">
            <v>0.14952900093679808</v>
          </cell>
        </row>
        <row r="18">
          <cell r="A18">
            <v>6.2419860020825071E-2</v>
          </cell>
          <cell r="H18">
            <v>0.33886573144799498</v>
          </cell>
          <cell r="K18">
            <v>0.16706440315215776</v>
          </cell>
        </row>
        <row r="19">
          <cell r="A19">
            <v>6.6064235916261455E-2</v>
          </cell>
          <cell r="H19">
            <v>0.33288776108636237</v>
          </cell>
          <cell r="K19">
            <v>0.19357131951727144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M16" sqref="M16"/>
    </sheetView>
  </sheetViews>
  <sheetFormatPr defaultRowHeight="14.5" x14ac:dyDescent="0.35"/>
  <cols>
    <col min="1" max="1" width="14.1796875" customWidth="1"/>
    <col min="2" max="2" width="8.81640625" bestFit="1" customWidth="1"/>
    <col min="3" max="4" width="11.81640625" customWidth="1"/>
    <col min="5" max="5" width="15.54296875" bestFit="1" customWidth="1"/>
    <col min="6" max="6" width="51.81640625" bestFit="1" customWidth="1"/>
    <col min="8" max="8" width="8.81640625" bestFit="1" customWidth="1"/>
    <col min="10" max="10" width="11.7265625" bestFit="1" customWidth="1"/>
    <col min="11" max="11" width="11.81640625" bestFit="1" customWidth="1"/>
    <col min="13" max="13" width="32.26953125" bestFit="1" customWidth="1"/>
    <col min="15" max="15" width="28.54296875" customWidth="1"/>
    <col min="17" max="17" width="7.26953125" customWidth="1"/>
    <col min="18" max="19" width="21.54296875" bestFit="1" customWidth="1"/>
  </cols>
  <sheetData>
    <row r="1" spans="1:15" x14ac:dyDescent="0.35">
      <c r="A1" t="s">
        <v>0</v>
      </c>
      <c r="H1" t="s">
        <v>1</v>
      </c>
      <c r="J1" t="s">
        <v>2</v>
      </c>
      <c r="M1" s="1" t="s">
        <v>3</v>
      </c>
    </row>
    <row r="2" spans="1:15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H2" t="s">
        <v>10</v>
      </c>
      <c r="J2" t="s">
        <v>11</v>
      </c>
      <c r="K2" t="s">
        <v>17</v>
      </c>
      <c r="M2" t="s">
        <v>12</v>
      </c>
    </row>
    <row r="3" spans="1:15" x14ac:dyDescent="0.35">
      <c r="A3" s="2">
        <f t="shared" ref="A3:A19" si="0">F3</f>
        <v>0</v>
      </c>
      <c r="B3">
        <v>1</v>
      </c>
      <c r="C3">
        <f>J3-0</f>
        <v>0.7</v>
      </c>
      <c r="D3">
        <f t="shared" ref="D3:D19" si="1">J3-E3</f>
        <v>0</v>
      </c>
      <c r="E3">
        <f>J3</f>
        <v>0.7</v>
      </c>
      <c r="F3">
        <f>0+C3*D3</f>
        <v>0</v>
      </c>
      <c r="H3">
        <f t="shared" ref="H3:H19" si="2">(B3/(B3+M$6))*(1/(1+M$9*A3))</f>
        <v>0.16666666666666666</v>
      </c>
      <c r="J3">
        <v>0.7</v>
      </c>
      <c r="K3">
        <f>(1-M$12)*0+M$12*(H3*J3)</f>
        <v>2.3333333333333331E-2</v>
      </c>
      <c r="M3" s="3">
        <v>0.2</v>
      </c>
      <c r="O3" s="4"/>
    </row>
    <row r="4" spans="1:15" x14ac:dyDescent="0.35">
      <c r="A4" s="2">
        <f t="shared" si="0"/>
        <v>1.6000000000000029E-3</v>
      </c>
      <c r="B4">
        <v>2</v>
      </c>
      <c r="C4">
        <f t="shared" ref="C4:C19" si="3">J4-E3</f>
        <v>0.10000000000000009</v>
      </c>
      <c r="D4">
        <f t="shared" si="1"/>
        <v>8.0000000000000071E-2</v>
      </c>
      <c r="E4">
        <f t="shared" ref="E4:E19" si="4">E3+M$3*C4</f>
        <v>0.72</v>
      </c>
      <c r="F4">
        <f t="shared" ref="F4:F19" si="5">(1-M$3)*F3+M$3*C4*D4</f>
        <v>1.6000000000000029E-3</v>
      </c>
      <c r="H4">
        <f>(B4/(B4+M$6))*(1/(1+M$9*A4))</f>
        <v>0.27685492801771866</v>
      </c>
      <c r="J4">
        <v>0.8</v>
      </c>
      <c r="K4">
        <f t="shared" ref="K4:K19" si="6">(1-M$12)*K3+M$12*(H4*J4)</f>
        <v>6.2963455149501663E-2</v>
      </c>
      <c r="O4" s="5"/>
    </row>
    <row r="5" spans="1:15" x14ac:dyDescent="0.35">
      <c r="A5" s="2">
        <f t="shared" si="0"/>
        <v>3.5840000000000021E-3</v>
      </c>
      <c r="B5">
        <v>3</v>
      </c>
      <c r="C5">
        <f>J5-E4</f>
        <v>-0.12</v>
      </c>
      <c r="D5">
        <f t="shared" si="1"/>
        <v>-9.5999999999999974E-2</v>
      </c>
      <c r="E5">
        <f t="shared" si="4"/>
        <v>0.69599999999999995</v>
      </c>
      <c r="F5">
        <f t="shared" si="5"/>
        <v>3.5840000000000021E-3</v>
      </c>
      <c r="H5">
        <f>(B5/(B5+M$6))*(1/(1+M$9*A5))</f>
        <v>0.34991788593610035</v>
      </c>
      <c r="J5">
        <v>0.6</v>
      </c>
      <c r="K5">
        <f t="shared" si="6"/>
        <v>9.2360910431933368E-2</v>
      </c>
      <c r="M5" t="s">
        <v>13</v>
      </c>
    </row>
    <row r="6" spans="1:15" x14ac:dyDescent="0.35">
      <c r="A6" s="2">
        <f t="shared" si="0"/>
        <v>9.5257600000000046E-3</v>
      </c>
      <c r="B6">
        <v>4</v>
      </c>
      <c r="C6">
        <f>J6-E5</f>
        <v>0.20400000000000007</v>
      </c>
      <c r="D6">
        <f t="shared" si="1"/>
        <v>0.16320000000000001</v>
      </c>
      <c r="E6">
        <f t="shared" si="4"/>
        <v>0.73680000000000001</v>
      </c>
      <c r="F6">
        <f>(1-M$3)*F5+M$3*C6*D6</f>
        <v>9.5257600000000046E-3</v>
      </c>
      <c r="H6">
        <f>(B6/(B6+M$6))*(1/(1+M$9*A6))</f>
        <v>0.37332110034751709</v>
      </c>
      <c r="J6">
        <v>0.9</v>
      </c>
      <c r="K6">
        <f t="shared" si="6"/>
        <v>0.14108652640809979</v>
      </c>
      <c r="M6" s="3">
        <v>5</v>
      </c>
    </row>
    <row r="7" spans="1:15" x14ac:dyDescent="0.35">
      <c r="A7" s="2">
        <f t="shared" si="0"/>
        <v>7.8372864000000042E-3</v>
      </c>
      <c r="B7">
        <v>5</v>
      </c>
      <c r="C7">
        <f>J7-E6</f>
        <v>-3.6800000000000055E-2</v>
      </c>
      <c r="D7">
        <f t="shared" si="1"/>
        <v>-2.9440000000000022E-2</v>
      </c>
      <c r="E7">
        <f t="shared" si="4"/>
        <v>0.72943999999999998</v>
      </c>
      <c r="F7">
        <f>(1-M$3)*F6+M$3*C7*D7</f>
        <v>7.8372864000000042E-3</v>
      </c>
      <c r="H7">
        <f t="shared" si="2"/>
        <v>0.43224711178704256</v>
      </c>
      <c r="J7">
        <v>0.7</v>
      </c>
      <c r="K7">
        <f t="shared" si="6"/>
        <v>0.17338381677666581</v>
      </c>
    </row>
    <row r="8" spans="1:15" x14ac:dyDescent="0.35">
      <c r="A8" s="2">
        <f>F8</f>
        <v>6.9660983295999998E-2</v>
      </c>
      <c r="B8">
        <v>6</v>
      </c>
      <c r="C8">
        <f t="shared" si="3"/>
        <v>-0.62944</v>
      </c>
      <c r="D8">
        <f>J8-E8</f>
        <v>-0.503552</v>
      </c>
      <c r="E8">
        <f t="shared" si="4"/>
        <v>0.60355199999999998</v>
      </c>
      <c r="F8">
        <f>(1-M$3)*F7+M$3*C8*D8</f>
        <v>6.9660983295999998E-2</v>
      </c>
      <c r="H8">
        <f>(B8/(B8+M$6))*(1/(1+M$9*A8))</f>
        <v>0.22791662345999569</v>
      </c>
      <c r="J8">
        <v>0.1</v>
      </c>
      <c r="K8">
        <f t="shared" si="6"/>
        <v>0.14326538589053259</v>
      </c>
      <c r="M8" t="s">
        <v>14</v>
      </c>
    </row>
    <row r="9" spans="1:15" x14ac:dyDescent="0.35">
      <c r="A9" s="2">
        <f t="shared" si="0"/>
        <v>6.9789813309440007E-2</v>
      </c>
      <c r="B9">
        <v>7</v>
      </c>
      <c r="C9">
        <f t="shared" si="3"/>
        <v>0.29644800000000004</v>
      </c>
      <c r="D9">
        <f t="shared" si="1"/>
        <v>0.23715839999999999</v>
      </c>
      <c r="E9">
        <f>E8+M$3*C9</f>
        <v>0.66284160000000003</v>
      </c>
      <c r="F9">
        <f t="shared" si="5"/>
        <v>6.9789813309440007E-2</v>
      </c>
      <c r="H9">
        <f>(B9/(B9+M$6))*(1/(1+M$9*A9))</f>
        <v>0.24348202790268642</v>
      </c>
      <c r="J9">
        <v>0.9</v>
      </c>
      <c r="K9">
        <f t="shared" si="6"/>
        <v>0.15843907373490962</v>
      </c>
      <c r="M9" s="3">
        <v>20</v>
      </c>
    </row>
    <row r="10" spans="1:15" x14ac:dyDescent="0.35">
      <c r="A10" s="2">
        <f t="shared" si="0"/>
        <v>6.4830907718041605E-2</v>
      </c>
      <c r="B10">
        <v>8</v>
      </c>
      <c r="C10">
        <f t="shared" si="3"/>
        <v>0.23715839999999999</v>
      </c>
      <c r="D10">
        <f t="shared" si="1"/>
        <v>0.18972672000000002</v>
      </c>
      <c r="E10">
        <f t="shared" si="4"/>
        <v>0.71027328000000001</v>
      </c>
      <c r="F10">
        <f t="shared" si="5"/>
        <v>6.4830907718041605E-2</v>
      </c>
      <c r="H10">
        <f>(B10/(B10+M$6))*(1/(1+M$9*A10))</f>
        <v>0.26795251714618706</v>
      </c>
      <c r="J10">
        <v>0.9</v>
      </c>
      <c r="K10">
        <f t="shared" si="6"/>
        <v>0.17498271207424138</v>
      </c>
    </row>
    <row r="11" spans="1:15" x14ac:dyDescent="0.35">
      <c r="A11" s="2">
        <f>F11</f>
        <v>5.7624122699546629E-2</v>
      </c>
      <c r="B11">
        <v>9</v>
      </c>
      <c r="C11">
        <f t="shared" si="3"/>
        <v>0.18972672000000002</v>
      </c>
      <c r="D11">
        <f t="shared" si="1"/>
        <v>0.15178137599999997</v>
      </c>
      <c r="E11">
        <f>E10+M$3*C11</f>
        <v>0.74821862400000005</v>
      </c>
      <c r="F11">
        <f t="shared" si="5"/>
        <v>5.7624122699546629E-2</v>
      </c>
      <c r="H11">
        <f t="shared" si="2"/>
        <v>0.29865848228644881</v>
      </c>
      <c r="J11">
        <v>0.9</v>
      </c>
      <c r="K11">
        <f>(1-M$12)*K10+M$12*(H11*J11)</f>
        <v>0.19374469647095391</v>
      </c>
      <c r="M11" t="s">
        <v>15</v>
      </c>
    </row>
    <row r="12" spans="1:15" x14ac:dyDescent="0.35">
      <c r="A12" s="2">
        <f t="shared" si="0"/>
        <v>5.5957295807709848E-2</v>
      </c>
      <c r="B12">
        <v>10</v>
      </c>
      <c r="C12">
        <f t="shared" si="3"/>
        <v>-0.24821862400000005</v>
      </c>
      <c r="D12">
        <f t="shared" si="1"/>
        <v>-0.19857489920000004</v>
      </c>
      <c r="E12">
        <f t="shared" si="4"/>
        <v>0.69857489920000004</v>
      </c>
      <c r="F12">
        <f t="shared" si="5"/>
        <v>5.5957295807709848E-2</v>
      </c>
      <c r="H12">
        <f t="shared" si="2"/>
        <v>0.31459214846164346</v>
      </c>
      <c r="J12">
        <v>0.5</v>
      </c>
      <c r="K12">
        <f t="shared" si="6"/>
        <v>0.18645497202292749</v>
      </c>
      <c r="M12" s="3">
        <v>0.2</v>
      </c>
    </row>
    <row r="13" spans="1:15" x14ac:dyDescent="0.35">
      <c r="A13" s="2">
        <f t="shared" si="0"/>
        <v>8.4538145464134309E-2</v>
      </c>
      <c r="B13">
        <v>11</v>
      </c>
      <c r="C13">
        <f t="shared" si="3"/>
        <v>-0.49857489920000003</v>
      </c>
      <c r="D13">
        <f t="shared" si="1"/>
        <v>-0.39885991936000004</v>
      </c>
      <c r="E13">
        <f t="shared" si="4"/>
        <v>0.59885991936000005</v>
      </c>
      <c r="F13">
        <f t="shared" si="5"/>
        <v>8.4538145464134309E-2</v>
      </c>
      <c r="H13">
        <f t="shared" si="2"/>
        <v>0.25550374491496036</v>
      </c>
      <c r="J13">
        <v>0.2</v>
      </c>
      <c r="K13">
        <f t="shared" si="6"/>
        <v>0.1593841274149404</v>
      </c>
    </row>
    <row r="14" spans="1:15" x14ac:dyDescent="0.35">
      <c r="A14" s="2">
        <f t="shared" si="0"/>
        <v>0.10744831143432597</v>
      </c>
      <c r="B14">
        <v>12</v>
      </c>
      <c r="C14">
        <f t="shared" si="3"/>
        <v>-0.49885991936000007</v>
      </c>
      <c r="D14">
        <f t="shared" si="1"/>
        <v>-0.39908793548800003</v>
      </c>
      <c r="E14">
        <f t="shared" si="4"/>
        <v>0.49908793548800001</v>
      </c>
      <c r="F14">
        <f t="shared" si="5"/>
        <v>0.10744831143432597</v>
      </c>
      <c r="H14">
        <f t="shared" si="2"/>
        <v>0.22416320204094745</v>
      </c>
      <c r="J14">
        <v>0.1</v>
      </c>
      <c r="K14">
        <f t="shared" si="6"/>
        <v>0.13199056597277128</v>
      </c>
    </row>
    <row r="15" spans="1:15" x14ac:dyDescent="0.35">
      <c r="A15" s="2">
        <f t="shared" si="0"/>
        <v>9.2417154374096616E-2</v>
      </c>
      <c r="B15">
        <v>13</v>
      </c>
      <c r="C15">
        <f t="shared" si="3"/>
        <v>0.20091206451199994</v>
      </c>
      <c r="D15">
        <f t="shared" si="1"/>
        <v>0.16072965160959996</v>
      </c>
      <c r="E15">
        <f t="shared" si="4"/>
        <v>0.5392703483904</v>
      </c>
      <c r="F15">
        <f t="shared" si="5"/>
        <v>9.2417154374096616E-2</v>
      </c>
      <c r="H15">
        <f t="shared" si="2"/>
        <v>0.25355871818822928</v>
      </c>
      <c r="J15">
        <v>0.7</v>
      </c>
      <c r="K15">
        <f t="shared" si="6"/>
        <v>0.14109067332456915</v>
      </c>
    </row>
    <row r="16" spans="1:15" x14ac:dyDescent="0.35">
      <c r="A16" s="2">
        <f t="shared" si="0"/>
        <v>8.4810515695831437E-2</v>
      </c>
      <c r="B16">
        <v>14</v>
      </c>
      <c r="C16">
        <f t="shared" si="3"/>
        <v>0.26072965160960004</v>
      </c>
      <c r="D16">
        <f t="shared" si="1"/>
        <v>0.20858372128767999</v>
      </c>
      <c r="E16">
        <f t="shared" si="4"/>
        <v>0.59141627871232005</v>
      </c>
      <c r="F16">
        <f t="shared" si="5"/>
        <v>8.4810515695831437E-2</v>
      </c>
      <c r="H16">
        <f t="shared" si="2"/>
        <v>0.27328806712885467</v>
      </c>
      <c r="J16">
        <v>0.8</v>
      </c>
      <c r="K16">
        <f t="shared" si="6"/>
        <v>0.15659862940027208</v>
      </c>
    </row>
    <row r="17" spans="1:11" x14ac:dyDescent="0.35">
      <c r="A17" s="2">
        <f t="shared" si="0"/>
        <v>7.3710843237636769E-2</v>
      </c>
      <c r="B17">
        <v>15</v>
      </c>
      <c r="C17">
        <f t="shared" si="3"/>
        <v>-0.19141627871232003</v>
      </c>
      <c r="D17">
        <f t="shared" si="1"/>
        <v>-0.15313302296985598</v>
      </c>
      <c r="E17">
        <f t="shared" si="4"/>
        <v>0.553133022969856</v>
      </c>
      <c r="F17">
        <f t="shared" si="5"/>
        <v>7.3710843237636769E-2</v>
      </c>
      <c r="H17">
        <f t="shared" si="2"/>
        <v>0.30312621770725517</v>
      </c>
      <c r="J17">
        <v>0.4</v>
      </c>
      <c r="K17">
        <f t="shared" si="6"/>
        <v>0.14952900093679808</v>
      </c>
    </row>
    <row r="18" spans="1:11" x14ac:dyDescent="0.35">
      <c r="A18" s="2">
        <f t="shared" si="0"/>
        <v>6.2419860020825071E-2</v>
      </c>
      <c r="B18">
        <v>16</v>
      </c>
      <c r="C18">
        <f t="shared" si="3"/>
        <v>0.14686697703014395</v>
      </c>
      <c r="D18">
        <f t="shared" si="1"/>
        <v>0.11749358162411516</v>
      </c>
      <c r="E18">
        <f t="shared" si="4"/>
        <v>0.58250641837588479</v>
      </c>
      <c r="F18">
        <f t="shared" si="5"/>
        <v>6.2419860020825071E-2</v>
      </c>
      <c r="H18">
        <f t="shared" si="2"/>
        <v>0.33886573144799498</v>
      </c>
      <c r="J18">
        <v>0.7</v>
      </c>
      <c r="K18">
        <f t="shared" si="6"/>
        <v>0.16706440315215776</v>
      </c>
    </row>
    <row r="19" spans="1:11" x14ac:dyDescent="0.35">
      <c r="A19" s="2">
        <f t="shared" si="0"/>
        <v>6.6064235916261455E-2</v>
      </c>
      <c r="B19">
        <v>17</v>
      </c>
      <c r="C19">
        <f t="shared" si="3"/>
        <v>0.31749358162411523</v>
      </c>
      <c r="D19">
        <f t="shared" si="1"/>
        <v>0.25399486529929216</v>
      </c>
      <c r="E19">
        <f t="shared" si="4"/>
        <v>0.64600513470070786</v>
      </c>
      <c r="F19">
        <f t="shared" si="5"/>
        <v>6.6064235916261455E-2</v>
      </c>
      <c r="H19">
        <f t="shared" si="2"/>
        <v>0.33288776108636237</v>
      </c>
      <c r="J19">
        <v>0.9</v>
      </c>
      <c r="K19">
        <f t="shared" si="6"/>
        <v>0.19357131951727144</v>
      </c>
    </row>
    <row r="55" spans="1:1" x14ac:dyDescent="0.35">
      <c r="A5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Andersen</dc:creator>
  <cp:lastModifiedBy>Thomas Andersen</cp:lastModifiedBy>
  <dcterms:created xsi:type="dcterms:W3CDTF">2015-06-05T18:19:34Z</dcterms:created>
  <dcterms:modified xsi:type="dcterms:W3CDTF">2026-05-19T14:26:39Z</dcterms:modified>
</cp:coreProperties>
</file>